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14"/>
  <workbookPr/>
  <mc:AlternateContent xmlns:mc="http://schemas.openxmlformats.org/markup-compatibility/2006">
    <mc:Choice Requires="x15">
      <x15ac:absPath xmlns:x15ac="http://schemas.microsoft.com/office/spreadsheetml/2010/11/ac" url="/Users/gizem/Desktop/Metgün Enerji/Para Analiz/"/>
    </mc:Choice>
  </mc:AlternateContent>
  <xr:revisionPtr revIDLastSave="0" documentId="13_ncr:1_{B965B671-5700-BB47-8FC8-C8175EDC1C3A}" xr6:coauthVersionLast="47" xr6:coauthVersionMax="47" xr10:uidLastSave="{00000000-0000-0000-0000-000000000000}"/>
  <bookViews>
    <workbookView xWindow="6120" yWindow="760" windowWidth="23280" windowHeight="12600" xr2:uid="{00000000-000D-0000-FFFF-FFFF00000000}"/>
  </bookViews>
  <sheets>
    <sheet name="ORDİN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" i="1" l="1"/>
  <c r="I10" i="1" s="1"/>
  <c r="I11" i="1" l="1"/>
  <c r="I12" i="1" s="1"/>
</calcChain>
</file>

<file path=xl/sharedStrings.xml><?xml version="1.0" encoding="utf-8"?>
<sst xmlns="http://schemas.openxmlformats.org/spreadsheetml/2006/main" count="49" uniqueCount="48">
  <si>
    <t>ADFLEX MEDYA REKLAM YAYIN ORDİNOSU</t>
  </si>
  <si>
    <t>Adflex Medya A.Ş.</t>
  </si>
  <si>
    <t>Satış Ajansı :</t>
  </si>
  <si>
    <t>Fatura Adresi :</t>
  </si>
  <si>
    <t>Vergi Dairesi :</t>
  </si>
  <si>
    <t>Kozyatağı</t>
  </si>
  <si>
    <t>Kampanya KPI :</t>
  </si>
  <si>
    <t>Vergi Numarası :</t>
  </si>
  <si>
    <t>İlgili Kişi :</t>
  </si>
  <si>
    <t>Yayın Dönemi :</t>
  </si>
  <si>
    <t>TL :</t>
  </si>
  <si>
    <t>KDV :</t>
  </si>
  <si>
    <t xml:space="preserve">Toplam: </t>
  </si>
  <si>
    <t>Mecra</t>
  </si>
  <si>
    <t>Reklam Modeli</t>
  </si>
  <si>
    <t>Frekans</t>
  </si>
  <si>
    <t>Birim Türü</t>
  </si>
  <si>
    <t xml:space="preserve">Planlanan </t>
  </si>
  <si>
    <t>Bütçe</t>
  </si>
  <si>
    <t>TOPLAM</t>
  </si>
  <si>
    <t>Firma Unvanı :</t>
  </si>
  <si>
    <t>0070873674</t>
  </si>
  <si>
    <t>Ordino Tarihi :</t>
  </si>
  <si>
    <t>İletişim Numarası:</t>
  </si>
  <si>
    <t>Yetkili Mail :</t>
  </si>
  <si>
    <t>Marka :</t>
  </si>
  <si>
    <t>Adflex Medya Yetkili :</t>
  </si>
  <si>
    <t>Platform</t>
  </si>
  <si>
    <t>İçerenköy Mh. Çayır Cd. No:7 Üçgen Plaza K:11 D:12 Ataşehir/İstanbul</t>
  </si>
  <si>
    <t>Not</t>
  </si>
  <si>
    <t>Birim Maliyet</t>
  </si>
  <si>
    <t>CPM</t>
  </si>
  <si>
    <t>Halka Arz Duyuru &amp; Bilinirlik</t>
  </si>
  <si>
    <t>Alican ÇAMSUN</t>
  </si>
  <si>
    <t>Yayın Süresi</t>
  </si>
  <si>
    <t>Adflex Medya</t>
  </si>
  <si>
    <t>Kategori</t>
  </si>
  <si>
    <t>Ana Sayfa</t>
  </si>
  <si>
    <t>Sabit</t>
  </si>
  <si>
    <t>Desktop+Mobil</t>
  </si>
  <si>
    <t>N/A</t>
  </si>
  <si>
    <t>Alican Çamsun</t>
  </si>
  <si>
    <t>0507 813 24 14</t>
  </si>
  <si>
    <t>alican@adflex.com.tr</t>
  </si>
  <si>
    <t>Para Analiz</t>
  </si>
  <si>
    <t>Masthead</t>
  </si>
  <si>
    <t>Yayın Tarihi: 20 Temmuz</t>
  </si>
  <si>
    <t>Metgün Enerji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</si>
</sst>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#,#00&quot; TL&quot;"/>
    <numFmt numFmtId="165" formatCode="mmmm&quot;-&quot;yy"/>
    <numFmt numFmtId="166" formatCode="#,#00\ &quot;TL&quot;"/>
    <numFmt numFmtId="167" formatCode="[$$-409]#,##0.00"/>
    <numFmt numFmtId="168" formatCode="_-* #,##0.00\ _₺_-;\-* #,##0.00\ _₺_-;_-* &quot;-&quot;??\ _₺_-;_-@_-"/>
    <numFmt numFmtId="169" formatCode="[$-409]mmmm\-yy;@"/>
    <numFmt numFmtId="170" formatCode="_-* #,##0.00\ &quot;TL&quot;_-;\-* #,##0.00\ &quot;TL&quot;_-;_-* &quot;-&quot;??\ &quot;TL&quot;_-;_-@_-"/>
    <numFmt numFmtId="171" formatCode="_-* #,##0.00\ _T_L_-;\-* #,##0.00\ _T_L_-;_-* &quot;-&quot;??\ _T_L_-;_-@_-"/>
    <numFmt numFmtId="172" formatCode="0.00\ &quot;TL&quot;"/>
    <numFmt numFmtId="173" formatCode="#,##0\ &quot;Gösterim&quot;"/>
    <numFmt numFmtId="174" formatCode="#,##0\ &quot;Gün&quot;"/>
  </numFmts>
  <fonts count="23">
    <font>
      <sz val="12"/>
      <color indexed="8"/>
      <name val="Verdana"/>
    </font>
    <font>
      <sz val="11"/>
      <color theme="1"/>
      <name val="Helvetica"/>
      <family val="2"/>
      <charset val="162"/>
      <scheme val="minor"/>
    </font>
    <font>
      <sz val="11"/>
      <color indexed="8"/>
      <name val="Calibri"/>
      <family val="2"/>
      <charset val="162"/>
    </font>
    <font>
      <b/>
      <sz val="10"/>
      <color indexed="10"/>
      <name val="Calibri gövde"/>
    </font>
    <font>
      <sz val="10"/>
      <color indexed="8"/>
      <name val="Calibri gövde"/>
    </font>
    <font>
      <u/>
      <sz val="12"/>
      <color theme="10"/>
      <name val="Verdana"/>
      <family val="2"/>
      <charset val="162"/>
    </font>
    <font>
      <b/>
      <sz val="10"/>
      <color indexed="11"/>
      <name val="Century Gothic"/>
      <family val="2"/>
      <charset val="162"/>
    </font>
    <font>
      <sz val="10"/>
      <color indexed="8"/>
      <name val="Century Gothic"/>
      <family val="2"/>
      <charset val="162"/>
    </font>
    <font>
      <b/>
      <sz val="10"/>
      <color indexed="8"/>
      <name val="Century Gothic"/>
      <family val="2"/>
      <charset val="162"/>
    </font>
    <font>
      <sz val="10"/>
      <name val="MS Sans Serif"/>
      <family val="2"/>
      <charset val="162"/>
    </font>
    <font>
      <b/>
      <sz val="10"/>
      <color rgb="FFFFFFFF"/>
      <name val="Century Gothic"/>
      <family val="2"/>
      <charset val="162"/>
    </font>
    <font>
      <u/>
      <sz val="10"/>
      <color theme="10"/>
      <name val="Century Gothic"/>
      <family val="2"/>
      <charset val="162"/>
    </font>
    <font>
      <sz val="11"/>
      <color theme="1"/>
      <name val="Helvetica"/>
      <family val="2"/>
      <scheme val="minor"/>
    </font>
    <font>
      <sz val="10"/>
      <name val="Arial"/>
      <family val="2"/>
      <charset val="162"/>
    </font>
    <font>
      <sz val="12"/>
      <color theme="1"/>
      <name val="Helvetica"/>
      <family val="2"/>
      <charset val="162"/>
      <scheme val="minor"/>
    </font>
    <font>
      <sz val="10"/>
      <name val="Arial"/>
      <family val="2"/>
    </font>
    <font>
      <sz val="11"/>
      <name val="Calibri"/>
      <family val="2"/>
      <charset val="162"/>
    </font>
    <font>
      <sz val="11"/>
      <color rgb="FFFF0000"/>
      <name val="Calibri"/>
      <family val="2"/>
      <charset val="162"/>
    </font>
    <font>
      <sz val="12"/>
      <color rgb="FFFF0000"/>
      <name val="Verdana"/>
      <family val="2"/>
      <charset val="162"/>
    </font>
    <font>
      <sz val="10"/>
      <name val="Century Gothic"/>
      <family val="2"/>
      <charset val="162"/>
    </font>
    <font>
      <b/>
      <sz val="10"/>
      <color theme="0"/>
      <name val="Century Gothic"/>
      <family val="2"/>
      <charset val="162"/>
    </font>
    <font>
      <sz val="10"/>
      <color rgb="FF000000"/>
      <name val="Century Gothic"/>
      <family val="2"/>
      <charset val="162"/>
    </font>
    <font>
      <b/>
      <sz val="10"/>
      <color rgb="FFFF0000"/>
      <name val="Century Gothic"/>
      <family val="1"/>
    </font>
  </fonts>
  <fills count="7">
    <fill>
      <patternFill patternType="none"/>
    </fill>
    <fill>
      <patternFill patternType="gray125"/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theme="0"/>
        <bgColor indexed="64"/>
      </patternFill>
    </fill>
    <fill>
      <patternFill patternType="solid">
        <fgColor rgb="FF5E5E5E"/>
        <bgColor indexed="64"/>
      </patternFill>
    </fill>
    <fill>
      <patternFill patternType="solid">
        <fgColor rgb="FFFFC000"/>
        <bgColor indexed="64"/>
      </patternFill>
    </fill>
  </fills>
  <borders count="19">
    <border>
      <left/>
      <right/>
      <top/>
      <bottom/>
      <diagonal/>
    </border>
    <border>
      <left style="thin">
        <color indexed="9"/>
      </left>
      <right/>
      <top style="thin">
        <color indexed="9"/>
      </top>
      <bottom/>
      <diagonal/>
    </border>
    <border>
      <left/>
      <right/>
      <top style="thin">
        <color indexed="9"/>
      </top>
      <bottom/>
      <diagonal/>
    </border>
    <border>
      <left style="thin">
        <color indexed="9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0">
    <xf numFmtId="0" fontId="0" fillId="0" borderId="0" applyNumberFormat="0" applyFill="0" applyBorder="0" applyProtection="0">
      <alignment vertical="top" wrapText="1"/>
    </xf>
    <xf numFmtId="0" fontId="5" fillId="0" borderId="0" applyNumberFormat="0" applyFill="0" applyBorder="0" applyAlignment="0" applyProtection="0">
      <alignment vertical="top" wrapText="1"/>
    </xf>
    <xf numFmtId="167" fontId="9" fillId="0" borderId="0"/>
    <xf numFmtId="0" fontId="12" fillId="0" borderId="0"/>
    <xf numFmtId="169" fontId="13" fillId="0" borderId="0"/>
    <xf numFmtId="169" fontId="13" fillId="0" borderId="0"/>
    <xf numFmtId="169" fontId="2" fillId="0" borderId="0"/>
    <xf numFmtId="0" fontId="14" fillId="0" borderId="0"/>
    <xf numFmtId="0" fontId="1" fillId="0" borderId="0"/>
    <xf numFmtId="0" fontId="1" fillId="0" borderId="0"/>
    <xf numFmtId="170" fontId="1" fillId="0" borderId="0" applyFont="0" applyFill="0" applyBorder="0" applyAlignment="0" applyProtection="0"/>
    <xf numFmtId="0" fontId="12" fillId="0" borderId="0"/>
    <xf numFmtId="0" fontId="13" fillId="0" borderId="0"/>
    <xf numFmtId="0" fontId="15" fillId="0" borderId="0"/>
    <xf numFmtId="0" fontId="1" fillId="0" borderId="0"/>
    <xf numFmtId="0" fontId="1" fillId="0" borderId="0"/>
    <xf numFmtId="9" fontId="12" fillId="0" borderId="0" applyFont="0" applyFill="0" applyBorder="0" applyAlignment="0" applyProtection="0"/>
    <xf numFmtId="9" fontId="1" fillId="0" borderId="0" applyFont="0" applyFill="0" applyBorder="0" applyAlignment="0" applyProtection="0"/>
    <xf numFmtId="169" fontId="13" fillId="0" borderId="0"/>
    <xf numFmtId="0" fontId="13" fillId="0" borderId="0"/>
    <xf numFmtId="0" fontId="13" fillId="0" borderId="0"/>
    <xf numFmtId="171" fontId="1" fillId="0" borderId="0" applyFont="0" applyFill="0" applyBorder="0" applyAlignment="0" applyProtection="0"/>
    <xf numFmtId="171" fontId="13" fillId="0" borderId="0" applyFont="0" applyFill="0" applyBorder="0" applyAlignment="0" applyProtection="0"/>
    <xf numFmtId="0" fontId="1" fillId="0" borderId="0"/>
    <xf numFmtId="0" fontId="1" fillId="0" borderId="0"/>
    <xf numFmtId="0" fontId="13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2" fillId="0" borderId="0" applyFont="0" applyFill="0" applyBorder="0" applyAlignment="0" applyProtection="0"/>
    <xf numFmtId="0" fontId="12" fillId="0" borderId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6" fillId="0" borderId="0"/>
    <xf numFmtId="171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  <xf numFmtId="168" fontId="12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171" fontId="1" fillId="0" borderId="0" applyFont="0" applyFill="0" applyBorder="0" applyAlignment="0" applyProtection="0"/>
    <xf numFmtId="0" fontId="1" fillId="0" borderId="0"/>
    <xf numFmtId="0" fontId="12" fillId="0" borderId="0"/>
    <xf numFmtId="0" fontId="12" fillId="0" borderId="0"/>
    <xf numFmtId="0" fontId="12" fillId="0" borderId="0"/>
  </cellStyleXfs>
  <cellXfs count="50">
    <xf numFmtId="0" fontId="0" fillId="0" borderId="0" xfId="0">
      <alignment vertical="top" wrapText="1"/>
    </xf>
    <xf numFmtId="0" fontId="2" fillId="0" borderId="0" xfId="0" applyNumberFormat="1" applyFont="1" applyAlignment="1"/>
    <xf numFmtId="0" fontId="2" fillId="0" borderId="1" xfId="0" applyFont="1" applyBorder="1" applyAlignment="1"/>
    <xf numFmtId="0" fontId="2" fillId="0" borderId="2" xfId="0" applyFont="1" applyBorder="1" applyAlignment="1"/>
    <xf numFmtId="0" fontId="2" fillId="0" borderId="3" xfId="0" applyFont="1" applyBorder="1" applyAlignment="1"/>
    <xf numFmtId="1" fontId="7" fillId="0" borderId="0" xfId="0" applyNumberFormat="1" applyFont="1" applyBorder="1" applyAlignment="1">
      <alignment horizontal="center" vertical="center"/>
    </xf>
    <xf numFmtId="165" fontId="4" fillId="0" borderId="0" xfId="0" applyNumberFormat="1" applyFont="1" applyBorder="1" applyAlignment="1"/>
    <xf numFmtId="0" fontId="2" fillId="0" borderId="0" xfId="0" applyNumberFormat="1" applyFont="1" applyBorder="1" applyAlignment="1"/>
    <xf numFmtId="0" fontId="2" fillId="0" borderId="0" xfId="0" applyFont="1" applyBorder="1" applyAlignment="1"/>
    <xf numFmtId="0" fontId="6" fillId="3" borderId="4" xfId="0" applyNumberFormat="1" applyFont="1" applyFill="1" applyBorder="1" applyAlignment="1">
      <alignment horizontal="left" vertical="center"/>
    </xf>
    <xf numFmtId="0" fontId="8" fillId="2" borderId="4" xfId="0" applyNumberFormat="1" applyFont="1" applyFill="1" applyBorder="1" applyAlignment="1">
      <alignment horizontal="center" vertical="top" wrapText="1"/>
    </xf>
    <xf numFmtId="0" fontId="17" fillId="0" borderId="3" xfId="0" applyFont="1" applyFill="1" applyBorder="1" applyAlignment="1"/>
    <xf numFmtId="0" fontId="17" fillId="0" borderId="0" xfId="0" applyNumberFormat="1" applyFont="1" applyFill="1" applyAlignment="1"/>
    <xf numFmtId="0" fontId="18" fillId="0" borderId="0" xfId="0" applyFont="1" applyFill="1">
      <alignment vertical="top" wrapText="1"/>
    </xf>
    <xf numFmtId="0" fontId="6" fillId="3" borderId="15" xfId="0" applyNumberFormat="1" applyFont="1" applyFill="1" applyBorder="1" applyAlignment="1">
      <alignment horizontal="left" vertical="center"/>
    </xf>
    <xf numFmtId="0" fontId="21" fillId="4" borderId="4" xfId="0" applyFont="1" applyFill="1" applyBorder="1" applyAlignment="1">
      <alignment horizontal="center" vertical="center" wrapText="1" readingOrder="1"/>
    </xf>
    <xf numFmtId="0" fontId="21" fillId="0" borderId="4" xfId="0" applyFont="1" applyBorder="1" applyAlignment="1">
      <alignment horizontal="center" vertical="center" wrapText="1" readingOrder="1"/>
    </xf>
    <xf numFmtId="174" fontId="21" fillId="0" borderId="4" xfId="0" applyNumberFormat="1" applyFont="1" applyBorder="1" applyAlignment="1">
      <alignment horizontal="center" vertical="center" wrapText="1" readingOrder="1"/>
    </xf>
    <xf numFmtId="0" fontId="6" fillId="6" borderId="5" xfId="0" applyNumberFormat="1" applyFont="1" applyFill="1" applyBorder="1" applyAlignment="1">
      <alignment horizontal="center" vertical="center" wrapText="1"/>
    </xf>
    <xf numFmtId="164" fontId="6" fillId="6" borderId="5" xfId="0" applyNumberFormat="1" applyFont="1" applyFill="1" applyBorder="1" applyAlignment="1">
      <alignment horizontal="center" vertical="center" wrapText="1"/>
    </xf>
    <xf numFmtId="0" fontId="6" fillId="6" borderId="4" xfId="0" applyNumberFormat="1" applyFont="1" applyFill="1" applyBorder="1" applyAlignment="1">
      <alignment horizontal="center" vertical="center"/>
    </xf>
    <xf numFmtId="0" fontId="6" fillId="6" borderId="4" xfId="0" applyNumberFormat="1" applyFont="1" applyFill="1" applyBorder="1" applyAlignment="1">
      <alignment horizontal="center" vertical="center" wrapText="1"/>
    </xf>
    <xf numFmtId="0" fontId="7" fillId="0" borderId="4" xfId="0" applyNumberFormat="1" applyFont="1" applyFill="1" applyBorder="1" applyAlignment="1">
      <alignment horizontal="center" vertical="center"/>
    </xf>
    <xf numFmtId="0" fontId="19" fillId="0" borderId="4" xfId="0" applyNumberFormat="1" applyFont="1" applyFill="1" applyBorder="1" applyAlignment="1">
      <alignment horizontal="center" vertical="center" wrapText="1"/>
    </xf>
    <xf numFmtId="14" fontId="7" fillId="2" borderId="6" xfId="0" applyNumberFormat="1" applyFont="1" applyFill="1" applyBorder="1" applyAlignment="1">
      <alignment horizontal="left" vertical="center"/>
    </xf>
    <xf numFmtId="14" fontId="7" fillId="2" borderId="17" xfId="0" applyNumberFormat="1" applyFont="1" applyFill="1" applyBorder="1" applyAlignment="1">
      <alignment horizontal="left" vertical="center"/>
    </xf>
    <xf numFmtId="14" fontId="7" fillId="2" borderId="18" xfId="0" applyNumberFormat="1" applyFont="1" applyFill="1" applyBorder="1" applyAlignment="1">
      <alignment horizontal="left" vertical="center"/>
    </xf>
    <xf numFmtId="172" fontId="20" fillId="5" borderId="15" xfId="2" applyNumberFormat="1" applyFont="1" applyFill="1" applyBorder="1" applyAlignment="1">
      <alignment horizontal="center" vertical="center" wrapText="1"/>
    </xf>
    <xf numFmtId="173" fontId="10" fillId="5" borderId="15" xfId="0" applyNumberFormat="1" applyFont="1" applyFill="1" applyBorder="1" applyAlignment="1">
      <alignment horizontal="center" vertical="center" wrapText="1" readingOrder="1"/>
    </xf>
    <xf numFmtId="166" fontId="20" fillId="5" borderId="15" xfId="2" applyNumberFormat="1" applyFont="1" applyFill="1" applyBorder="1" applyAlignment="1">
      <alignment horizontal="center" vertical="center" wrapText="1"/>
    </xf>
    <xf numFmtId="164" fontId="8" fillId="2" borderId="11" xfId="0" applyNumberFormat="1" applyFont="1" applyFill="1" applyBorder="1" applyAlignment="1">
      <alignment horizontal="left" vertical="center"/>
    </xf>
    <xf numFmtId="164" fontId="8" fillId="2" borderId="12" xfId="0" applyNumberFormat="1" applyFont="1" applyFill="1" applyBorder="1" applyAlignment="1">
      <alignment horizontal="left" vertical="center"/>
    </xf>
    <xf numFmtId="164" fontId="8" fillId="2" borderId="13" xfId="0" applyNumberFormat="1" applyFont="1" applyFill="1" applyBorder="1" applyAlignment="1">
      <alignment horizontal="left" vertical="center"/>
    </xf>
    <xf numFmtId="1" fontId="8" fillId="2" borderId="14" xfId="0" applyNumberFormat="1" applyFont="1" applyFill="1" applyBorder="1" applyAlignment="1">
      <alignment horizontal="left" vertical="center"/>
    </xf>
    <xf numFmtId="0" fontId="7" fillId="2" borderId="4" xfId="0" applyNumberFormat="1" applyFont="1" applyFill="1" applyBorder="1" applyAlignment="1">
      <alignment horizontal="left" vertical="center"/>
    </xf>
    <xf numFmtId="1" fontId="7" fillId="2" borderId="4" xfId="0" applyNumberFormat="1" applyFont="1" applyFill="1" applyBorder="1" applyAlignment="1">
      <alignment horizontal="left" vertical="center"/>
    </xf>
    <xf numFmtId="0" fontId="3" fillId="2" borderId="4" xfId="0" applyNumberFormat="1" applyFont="1" applyFill="1" applyBorder="1" applyAlignment="1">
      <alignment horizontal="center" vertical="center"/>
    </xf>
    <xf numFmtId="0" fontId="7" fillId="2" borderId="7" xfId="0" applyNumberFormat="1" applyFont="1" applyFill="1" applyBorder="1" applyAlignment="1">
      <alignment horizontal="left" vertical="center"/>
    </xf>
    <xf numFmtId="0" fontId="7" fillId="2" borderId="8" xfId="0" applyNumberFormat="1" applyFont="1" applyFill="1" applyBorder="1" applyAlignment="1">
      <alignment horizontal="left" vertical="center"/>
    </xf>
    <xf numFmtId="49" fontId="7" fillId="2" borderId="4" xfId="0" applyNumberFormat="1" applyFont="1" applyFill="1" applyBorder="1" applyAlignment="1">
      <alignment horizontal="left" vertical="center"/>
    </xf>
    <xf numFmtId="0" fontId="7" fillId="2" borderId="4" xfId="0" applyNumberFormat="1" applyFont="1" applyFill="1" applyBorder="1" applyAlignment="1">
      <alignment horizontal="left" vertical="center" wrapText="1"/>
    </xf>
    <xf numFmtId="1" fontId="7" fillId="2" borderId="4" xfId="0" applyNumberFormat="1" applyFont="1" applyFill="1" applyBorder="1" applyAlignment="1">
      <alignment horizontal="left" vertical="center" wrapText="1"/>
    </xf>
    <xf numFmtId="0" fontId="22" fillId="2" borderId="15" xfId="0" applyNumberFormat="1" applyFont="1" applyFill="1" applyBorder="1" applyAlignment="1">
      <alignment horizontal="center" vertical="center" wrapText="1"/>
    </xf>
    <xf numFmtId="0" fontId="8" fillId="2" borderId="16" xfId="0" applyNumberFormat="1" applyFont="1" applyFill="1" applyBorder="1" applyAlignment="1">
      <alignment horizontal="center" vertical="center" wrapText="1"/>
    </xf>
    <xf numFmtId="0" fontId="5" fillId="2" borderId="4" xfId="1" applyNumberFormat="1" applyFill="1" applyBorder="1" applyAlignment="1">
      <alignment horizontal="left" vertical="center"/>
    </xf>
    <xf numFmtId="0" fontId="11" fillId="2" borderId="4" xfId="1" applyNumberFormat="1" applyFont="1" applyFill="1" applyBorder="1" applyAlignment="1">
      <alignment horizontal="left" vertical="center"/>
    </xf>
    <xf numFmtId="17" fontId="7" fillId="2" borderId="4" xfId="0" applyNumberFormat="1" applyFont="1" applyFill="1" applyBorder="1" applyAlignment="1">
      <alignment horizontal="left" vertical="center"/>
    </xf>
    <xf numFmtId="1" fontId="7" fillId="2" borderId="6" xfId="0" applyNumberFormat="1" applyFont="1" applyFill="1" applyBorder="1" applyAlignment="1">
      <alignment horizontal="left" vertical="center"/>
    </xf>
    <xf numFmtId="164" fontId="8" fillId="2" borderId="9" xfId="0" applyNumberFormat="1" applyFont="1" applyFill="1" applyBorder="1" applyAlignment="1">
      <alignment horizontal="left" vertical="center"/>
    </xf>
    <xf numFmtId="1" fontId="8" fillId="2" borderId="10" xfId="0" applyNumberFormat="1" applyFont="1" applyFill="1" applyBorder="1" applyAlignment="1">
      <alignment horizontal="left" vertical="center"/>
    </xf>
  </cellXfs>
  <cellStyles count="50">
    <cellStyle name="Comma 10 2" xfId="22" xr:uid="{00000000-0005-0000-0000-000000000000}"/>
    <cellStyle name="Comma 2" xfId="29" xr:uid="{00000000-0005-0000-0000-000001000000}"/>
    <cellStyle name="Comma 2 2" xfId="21" xr:uid="{00000000-0005-0000-0000-000002000000}"/>
    <cellStyle name="Comma 2 2 2" xfId="35" xr:uid="{00000000-0005-0000-0000-000003000000}"/>
    <cellStyle name="Comma 2 2 3" xfId="45" xr:uid="{00000000-0005-0000-0000-000004000000}"/>
    <cellStyle name="Comma 2 3" xfId="41" xr:uid="{00000000-0005-0000-0000-000005000000}"/>
    <cellStyle name="Köprü" xfId="1" builtinId="8"/>
    <cellStyle name="Normal" xfId="0" builtinId="0"/>
    <cellStyle name="Normal - Style1 2 2 2" xfId="19" xr:uid="{00000000-0005-0000-0000-000008000000}"/>
    <cellStyle name="Normal - Style1 2 2 3" xfId="5" xr:uid="{00000000-0005-0000-0000-000009000000}"/>
    <cellStyle name="Normal 10" xfId="11" xr:uid="{00000000-0005-0000-0000-00000A000000}"/>
    <cellStyle name="Normal 10 13" xfId="47" xr:uid="{00000000-0005-0000-0000-00000B000000}"/>
    <cellStyle name="Normal 11" xfId="48" xr:uid="{00000000-0005-0000-0000-00000C000000}"/>
    <cellStyle name="Normal 12" xfId="49" xr:uid="{00000000-0005-0000-0000-00000D000000}"/>
    <cellStyle name="Normal 2" xfId="4" xr:uid="{00000000-0005-0000-0000-00000E000000}"/>
    <cellStyle name="Normal 2 10" xfId="9" xr:uid="{00000000-0005-0000-0000-00000F000000}"/>
    <cellStyle name="Normal 2 10 2" xfId="25" xr:uid="{00000000-0005-0000-0000-000010000000}"/>
    <cellStyle name="Normal 2 15 2" xfId="15" xr:uid="{00000000-0005-0000-0000-000011000000}"/>
    <cellStyle name="Normal 2 15 2 2" xfId="32" xr:uid="{00000000-0005-0000-0000-000012000000}"/>
    <cellStyle name="Normal 2 15 2 3" xfId="43" xr:uid="{00000000-0005-0000-0000-000013000000}"/>
    <cellStyle name="Normal 2 2" xfId="2" xr:uid="{00000000-0005-0000-0000-000014000000}"/>
    <cellStyle name="Normal 2 2 2" xfId="18" xr:uid="{00000000-0005-0000-0000-000015000000}"/>
    <cellStyle name="Normal 2 2 3" xfId="34" xr:uid="{00000000-0005-0000-0000-000016000000}"/>
    <cellStyle name="Normal 2 3" xfId="30" xr:uid="{00000000-0005-0000-0000-000017000000}"/>
    <cellStyle name="Normal 2 5" xfId="6" xr:uid="{00000000-0005-0000-0000-000018000000}"/>
    <cellStyle name="Normal 2 6" xfId="12" xr:uid="{00000000-0005-0000-0000-000019000000}"/>
    <cellStyle name="Normal 3" xfId="7" xr:uid="{00000000-0005-0000-0000-00001A000000}"/>
    <cellStyle name="Normal 4" xfId="8" xr:uid="{00000000-0005-0000-0000-00001B000000}"/>
    <cellStyle name="Normal 4 2" xfId="46" xr:uid="{00000000-0005-0000-0000-00001C000000}"/>
    <cellStyle name="Normal 48 5" xfId="28" xr:uid="{00000000-0005-0000-0000-00001D000000}"/>
    <cellStyle name="Normal 48 5 2" xfId="14" xr:uid="{00000000-0005-0000-0000-00001E000000}"/>
    <cellStyle name="Normal 48 5 2 2" xfId="31" xr:uid="{00000000-0005-0000-0000-00001F000000}"/>
    <cellStyle name="Normal 48 5 2 3" xfId="42" xr:uid="{00000000-0005-0000-0000-000020000000}"/>
    <cellStyle name="Normal 48 5 3" xfId="40" xr:uid="{00000000-0005-0000-0000-000021000000}"/>
    <cellStyle name="Normal 5" xfId="23" xr:uid="{00000000-0005-0000-0000-000022000000}"/>
    <cellStyle name="Normal 5 2 2 2" xfId="20" xr:uid="{00000000-0005-0000-0000-000023000000}"/>
    <cellStyle name="Normal 6" xfId="24" xr:uid="{00000000-0005-0000-0000-000024000000}"/>
    <cellStyle name="Normal 6 3" xfId="13" xr:uid="{00000000-0005-0000-0000-000025000000}"/>
    <cellStyle name="Normal 7" xfId="36" xr:uid="{00000000-0005-0000-0000-000026000000}"/>
    <cellStyle name="Normal 8" xfId="37" xr:uid="{00000000-0005-0000-0000-000027000000}"/>
    <cellStyle name="Normal 9" xfId="3" xr:uid="{00000000-0005-0000-0000-000028000000}"/>
    <cellStyle name="Normal 90" xfId="27" xr:uid="{00000000-0005-0000-0000-000029000000}"/>
    <cellStyle name="Normal 90 2" xfId="39" xr:uid="{00000000-0005-0000-0000-00002A000000}"/>
    <cellStyle name="ParaBirimi 2 5" xfId="10" xr:uid="{00000000-0005-0000-0000-00002B000000}"/>
    <cellStyle name="Percent 2" xfId="16" xr:uid="{00000000-0005-0000-0000-00002C000000}"/>
    <cellStyle name="Percent 45 2" xfId="17" xr:uid="{00000000-0005-0000-0000-00002D000000}"/>
    <cellStyle name="Percent 45 2 2" xfId="33" xr:uid="{00000000-0005-0000-0000-00002E000000}"/>
    <cellStyle name="Percent 45 2 3" xfId="44" xr:uid="{00000000-0005-0000-0000-00002F000000}"/>
    <cellStyle name="Yüzde 2" xfId="26" xr:uid="{00000000-0005-0000-0000-000030000000}"/>
    <cellStyle name="Yüzde 3" xfId="38" xr:uid="{00000000-0005-0000-0000-000031000000}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AAAAAA"/>
      <rgbColor rgb="FF595959"/>
      <rgbColor rgb="FFFFFFFF"/>
      <rgbColor rgb="FF5E5E5E"/>
      <rgbColor rgb="FF0000FF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66675</xdr:colOff>
      <xdr:row>2</xdr:row>
      <xdr:rowOff>71438</xdr:rowOff>
    </xdr:from>
    <xdr:to>
      <xdr:col>1</xdr:col>
      <xdr:colOff>1206501</xdr:colOff>
      <xdr:row>3</xdr:row>
      <xdr:rowOff>233828</xdr:rowOff>
    </xdr:to>
    <xdr:pic>
      <xdr:nvPicPr>
        <xdr:cNvPr id="2" name="image1.png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68275" y="334963"/>
          <a:ext cx="1139826" cy="457666"/>
        </a:xfrm>
        <a:prstGeom prst="rect">
          <a:avLst/>
        </a:prstGeom>
        <a:ln w="12700" cap="flat">
          <a:noFill/>
          <a:miter lim="400000"/>
        </a:ln>
        <a:effectLst/>
      </xdr:spPr>
    </xdr:pic>
    <xdr:clientData/>
  </xdr:twoCellAnchor>
</xdr:wsDr>
</file>

<file path=xl/theme/_rels/theme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theme/theme1.xml><?xml version="1.0" encoding="utf-8"?>
<a:theme xmlns:a="http://schemas.openxmlformats.org/drawingml/2006/main" name="Blank">
  <a:themeElements>
    <a:clrScheme name="Blank">
      <a:dk1>
        <a:srgbClr val="000000"/>
      </a:dk1>
      <a:lt1>
        <a:srgbClr val="FFFFFF"/>
      </a:lt1>
      <a:dk2>
        <a:srgbClr val="404040"/>
      </a:dk2>
      <a:lt2>
        <a:srgbClr val="BFBFBF"/>
      </a:lt2>
      <a:accent1>
        <a:srgbClr val="499BC9"/>
      </a:accent1>
      <a:accent2>
        <a:srgbClr val="6EC038"/>
      </a:accent2>
      <a:accent3>
        <a:srgbClr val="F1D130"/>
      </a:accent3>
      <a:accent4>
        <a:srgbClr val="FFA93A"/>
      </a:accent4>
      <a:accent5>
        <a:srgbClr val="FF2D21"/>
      </a:accent5>
      <a:accent6>
        <a:srgbClr val="6C2085"/>
      </a:accent6>
      <a:hlink>
        <a:srgbClr val="0000FF"/>
      </a:hlink>
      <a:folHlink>
        <a:srgbClr val="FF00FF"/>
      </a:folHlink>
    </a:clrScheme>
    <a:fontScheme name="Blank">
      <a:majorFont>
        <a:latin typeface="Helvetica"/>
        <a:ea typeface="Helvetica"/>
        <a:cs typeface="Helvetica"/>
      </a:majorFont>
      <a:minorFont>
        <a:latin typeface="Helvetica"/>
        <a:ea typeface="Helvetica"/>
        <a:cs typeface="Helvetic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38100" dist="25400" dir="5400000" rotWithShape="0">
              <a:srgbClr val="000000">
                <a:alpha val="50000"/>
              </a:srgbClr>
            </a:outerShdw>
          </a:effectLst>
        </a:effectStyle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blipFill rotWithShape="1">
          <a:blip xmlns:r="http://schemas.openxmlformats.org/officeDocument/2006/relationships" r:embed="rId1"/>
          <a:srcRect/>
          <a:tile tx="0" ty="0" sx="100000" sy="100000" flip="none" algn="tl"/>
        </a:blipFill>
        <a:ln w="12700" cap="flat">
          <a:noFill/>
          <a:miter lim="400000"/>
        </a:ln>
        <a:effectLst>
          <a:outerShdw blurRad="38100" dist="25400" dir="5400000" rotWithShape="0">
            <a:srgbClr val="000000">
              <a:alpha val="50000"/>
            </a:srgbClr>
          </a:outerShdw>
        </a:effectLst>
      </a:spPr>
      <a:bodyPr rot="0" spcFirstLastPara="1" vertOverflow="overflow" horzOverflow="overflow" vert="horz" wrap="square" lIns="50800" tIns="50800" rIns="50800" bIns="50800" numCol="1" spcCol="38100" rtlCol="0" anchor="ctr">
        <a:spAutoFit/>
      </a:bodyPr>
      <a:lstStyle>
        <a:defPPr marL="0" marR="0" indent="0" algn="ctr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200" b="0" i="0" u="none" strike="noStrike" cap="none" spc="0" normalizeH="0" baseline="0">
            <a:ln>
              <a:noFill/>
            </a:ln>
            <a:solidFill>
              <a:srgbClr val="FFFFFF"/>
            </a:solidFill>
            <a:effectLst>
              <a:outerShdw blurRad="25400" dist="23998" dir="2700000" rotWithShape="0">
                <a:srgbClr val="000000">
                  <a:alpha val="31034"/>
                </a:srgbClr>
              </a:outerShdw>
            </a:effectLst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6350" cap="flat">
          <a:solidFill>
            <a:srgbClr val="000000"/>
          </a:solidFill>
          <a:prstDash val="solid"/>
          <a:miter lim="400000"/>
        </a:ln>
        <a:effectLst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</a:spPr>
      <a:bodyPr rot="0" spcFirstLastPara="1" vertOverflow="overflow" horzOverflow="overflow" vert="horz" wrap="square" lIns="50800" tIns="50800" rIns="50800" bIns="50800" numCol="1" spcCol="38100" rtlCol="0" anchor="t">
        <a:spAutoFit/>
      </a:bodyPr>
      <a:lstStyle>
        <a:defPPr marL="0" marR="0" indent="0" algn="l" defTabSz="4572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alican@adflex.com.t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U17"/>
  <sheetViews>
    <sheetView showGridLines="0" tabSelected="1" zoomScaleNormal="100" workbookViewId="0">
      <selection activeCell="K15" sqref="K15"/>
    </sheetView>
  </sheetViews>
  <sheetFormatPr baseColWidth="10" defaultColWidth="6.75" defaultRowHeight="12.25" customHeight="1"/>
  <cols>
    <col min="1" max="1" width="1.375" style="1" customWidth="1"/>
    <col min="2" max="2" width="22.75" style="1" customWidth="1"/>
    <col min="3" max="5" width="13.75" style="1" customWidth="1"/>
    <col min="6" max="7" width="6.875" style="1" customWidth="1"/>
    <col min="8" max="8" width="14.375" style="1" customWidth="1"/>
    <col min="9" max="10" width="12.75" style="1" customWidth="1"/>
    <col min="11" max="11" width="21.5" style="1" customWidth="1"/>
    <col min="12" max="255" width="6.75" style="1" customWidth="1"/>
  </cols>
  <sheetData>
    <row r="1" spans="1:255" ht="8" customHeight="1">
      <c r="A1" s="2"/>
      <c r="B1" s="3"/>
      <c r="C1" s="3"/>
      <c r="D1" s="3"/>
      <c r="E1" s="3"/>
      <c r="F1" s="3"/>
      <c r="G1" s="3"/>
      <c r="H1" s="3"/>
      <c r="I1" s="3"/>
      <c r="J1" s="3"/>
      <c r="K1" s="7"/>
    </row>
    <row r="2" spans="1:255" ht="12.75" customHeight="1">
      <c r="A2" s="4"/>
      <c r="B2" s="8"/>
      <c r="C2" s="8"/>
      <c r="D2" s="8"/>
      <c r="E2" s="8"/>
      <c r="F2" s="8"/>
      <c r="G2" s="8"/>
      <c r="H2" s="8"/>
      <c r="I2" s="8"/>
      <c r="J2" s="8"/>
      <c r="K2" s="7"/>
    </row>
    <row r="3" spans="1:255" ht="23.25" customHeight="1">
      <c r="A3" s="4"/>
      <c r="B3" s="36" t="s">
        <v>0</v>
      </c>
      <c r="C3" s="36"/>
      <c r="D3" s="36"/>
      <c r="E3" s="36"/>
      <c r="F3" s="36"/>
      <c r="G3" s="36"/>
      <c r="H3" s="36"/>
      <c r="I3" s="36"/>
      <c r="J3" s="36"/>
      <c r="K3" s="36"/>
    </row>
    <row r="4" spans="1:255" ht="23.25" customHeight="1">
      <c r="A4" s="4"/>
      <c r="B4" s="36"/>
      <c r="C4" s="36"/>
      <c r="D4" s="36"/>
      <c r="E4" s="36"/>
      <c r="F4" s="36"/>
      <c r="G4" s="36"/>
      <c r="H4" s="36"/>
      <c r="I4" s="36"/>
      <c r="J4" s="36"/>
      <c r="K4" s="36"/>
    </row>
    <row r="5" spans="1:255" ht="20.25" customHeight="1">
      <c r="A5" s="4"/>
      <c r="B5" s="9" t="s">
        <v>20</v>
      </c>
      <c r="C5" s="34" t="s">
        <v>1</v>
      </c>
      <c r="D5" s="34"/>
      <c r="E5" s="34"/>
      <c r="F5" s="34"/>
      <c r="G5" s="35"/>
      <c r="H5" s="9" t="s">
        <v>2</v>
      </c>
      <c r="I5" s="37" t="s">
        <v>35</v>
      </c>
      <c r="J5" s="38"/>
      <c r="K5" s="10" t="s">
        <v>29</v>
      </c>
    </row>
    <row r="6" spans="1:255" ht="20.25" customHeight="1">
      <c r="A6" s="4"/>
      <c r="B6" s="9" t="s">
        <v>3</v>
      </c>
      <c r="C6" s="40" t="s">
        <v>28</v>
      </c>
      <c r="D6" s="40"/>
      <c r="E6" s="40"/>
      <c r="F6" s="40"/>
      <c r="G6" s="41"/>
      <c r="H6" s="9" t="s">
        <v>25</v>
      </c>
      <c r="I6" s="37" t="s">
        <v>47</v>
      </c>
      <c r="J6" s="38"/>
      <c r="K6" s="42" t="s">
        <v>46</v>
      </c>
    </row>
    <row r="7" spans="1:255" ht="20.25" customHeight="1">
      <c r="A7" s="4"/>
      <c r="B7" s="9" t="s">
        <v>4</v>
      </c>
      <c r="C7" s="34" t="s">
        <v>5</v>
      </c>
      <c r="D7" s="34"/>
      <c r="E7" s="34"/>
      <c r="F7" s="34"/>
      <c r="G7" s="35"/>
      <c r="H7" s="9" t="s">
        <v>6</v>
      </c>
      <c r="I7" s="37" t="s">
        <v>32</v>
      </c>
      <c r="J7" s="38"/>
      <c r="K7" s="43"/>
    </row>
    <row r="8" spans="1:255" ht="20.25" customHeight="1">
      <c r="A8" s="4"/>
      <c r="B8" s="9" t="s">
        <v>7</v>
      </c>
      <c r="C8" s="39" t="s">
        <v>21</v>
      </c>
      <c r="D8" s="39"/>
      <c r="E8" s="39"/>
      <c r="F8" s="39"/>
      <c r="G8" s="39"/>
      <c r="H8" s="9" t="s">
        <v>8</v>
      </c>
      <c r="I8" s="37" t="s">
        <v>33</v>
      </c>
      <c r="J8" s="38"/>
      <c r="K8" s="43"/>
    </row>
    <row r="9" spans="1:255" ht="20.25" customHeight="1">
      <c r="A9" s="4"/>
      <c r="B9" s="9" t="s">
        <v>26</v>
      </c>
      <c r="C9" s="34" t="s">
        <v>41</v>
      </c>
      <c r="D9" s="34"/>
      <c r="E9" s="34"/>
      <c r="F9" s="34"/>
      <c r="G9" s="35"/>
      <c r="H9" s="9" t="s">
        <v>9</v>
      </c>
      <c r="I9" s="46">
        <v>46204</v>
      </c>
      <c r="J9" s="47"/>
      <c r="K9" s="43"/>
    </row>
    <row r="10" spans="1:255" ht="20.25" customHeight="1">
      <c r="A10" s="4"/>
      <c r="B10" s="9" t="s">
        <v>23</v>
      </c>
      <c r="C10" s="34" t="s">
        <v>42</v>
      </c>
      <c r="D10" s="34"/>
      <c r="E10" s="34"/>
      <c r="F10" s="34"/>
      <c r="G10" s="35"/>
      <c r="H10" s="9" t="s">
        <v>10</v>
      </c>
      <c r="I10" s="48">
        <f>K15</f>
        <v>35000</v>
      </c>
      <c r="J10" s="49"/>
      <c r="K10" s="43"/>
    </row>
    <row r="11" spans="1:255" ht="20.25" customHeight="1">
      <c r="A11" s="4"/>
      <c r="B11" s="9" t="s">
        <v>24</v>
      </c>
      <c r="C11" s="44" t="s">
        <v>43</v>
      </c>
      <c r="D11" s="45"/>
      <c r="E11" s="45"/>
      <c r="F11" s="34"/>
      <c r="G11" s="35"/>
      <c r="H11" s="9" t="s">
        <v>11</v>
      </c>
      <c r="I11" s="30">
        <f>I10*0.2</f>
        <v>7000</v>
      </c>
      <c r="J11" s="31"/>
      <c r="K11" s="43"/>
    </row>
    <row r="12" spans="1:255" ht="20.25" customHeight="1">
      <c r="A12" s="4"/>
      <c r="B12" s="14" t="s">
        <v>22</v>
      </c>
      <c r="C12" s="24">
        <v>46221</v>
      </c>
      <c r="D12" s="25"/>
      <c r="E12" s="25"/>
      <c r="F12" s="25"/>
      <c r="G12" s="26"/>
      <c r="H12" s="14" t="s">
        <v>12</v>
      </c>
      <c r="I12" s="32">
        <f>I10+I11</f>
        <v>42000</v>
      </c>
      <c r="J12" s="33"/>
      <c r="K12" s="43"/>
    </row>
    <row r="13" spans="1:255" ht="25.5" customHeight="1">
      <c r="A13" s="4"/>
      <c r="B13" s="20" t="s">
        <v>13</v>
      </c>
      <c r="C13" s="20" t="s">
        <v>27</v>
      </c>
      <c r="D13" s="20" t="s">
        <v>36</v>
      </c>
      <c r="E13" s="21" t="s">
        <v>14</v>
      </c>
      <c r="F13" s="21" t="s">
        <v>15</v>
      </c>
      <c r="G13" s="21" t="s">
        <v>16</v>
      </c>
      <c r="H13" s="21" t="s">
        <v>34</v>
      </c>
      <c r="I13" s="21" t="s">
        <v>30</v>
      </c>
      <c r="J13" s="21" t="s">
        <v>17</v>
      </c>
      <c r="K13" s="21" t="s">
        <v>18</v>
      </c>
      <c r="IT13"/>
      <c r="IU13"/>
    </row>
    <row r="14" spans="1:255" s="13" customFormat="1" ht="25.5" customHeight="1">
      <c r="A14" s="11"/>
      <c r="B14" s="15" t="s">
        <v>44</v>
      </c>
      <c r="C14" s="16" t="s">
        <v>39</v>
      </c>
      <c r="D14" s="16" t="s">
        <v>37</v>
      </c>
      <c r="E14" s="16" t="s">
        <v>45</v>
      </c>
      <c r="F14" s="22" t="s">
        <v>38</v>
      </c>
      <c r="G14" s="23" t="s">
        <v>31</v>
      </c>
      <c r="H14" s="17">
        <v>1</v>
      </c>
      <c r="I14" s="27" t="s">
        <v>40</v>
      </c>
      <c r="J14" s="28" t="s">
        <v>40</v>
      </c>
      <c r="K14" s="29">
        <v>35000</v>
      </c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12"/>
      <c r="AR14" s="12"/>
      <c r="AS14" s="12"/>
      <c r="AT14" s="12"/>
      <c r="AU14" s="12"/>
      <c r="AV14" s="12"/>
      <c r="AW14" s="12"/>
      <c r="AX14" s="12"/>
      <c r="AY14" s="12"/>
      <c r="AZ14" s="12"/>
      <c r="BA14" s="12"/>
      <c r="BB14" s="12"/>
      <c r="BC14" s="12"/>
      <c r="BD14" s="12"/>
      <c r="BE14" s="12"/>
      <c r="BF14" s="12"/>
      <c r="BG14" s="12"/>
      <c r="BH14" s="12"/>
      <c r="BI14" s="12"/>
      <c r="BJ14" s="12"/>
      <c r="BK14" s="12"/>
      <c r="BL14" s="12"/>
      <c r="BM14" s="12"/>
      <c r="BN14" s="12"/>
      <c r="BO14" s="12"/>
      <c r="BP14" s="12"/>
      <c r="BQ14" s="12"/>
      <c r="BR14" s="12"/>
      <c r="BS14" s="12"/>
      <c r="BT14" s="12"/>
      <c r="BU14" s="12"/>
      <c r="BV14" s="12"/>
      <c r="BW14" s="12"/>
      <c r="BX14" s="12"/>
      <c r="BY14" s="12"/>
      <c r="BZ14" s="12"/>
      <c r="CA14" s="12"/>
      <c r="CB14" s="12"/>
      <c r="CC14" s="12"/>
      <c r="CD14" s="12"/>
      <c r="CE14" s="12"/>
      <c r="CF14" s="12"/>
      <c r="CG14" s="12"/>
      <c r="CH14" s="12"/>
      <c r="CI14" s="12"/>
      <c r="CJ14" s="12"/>
      <c r="CK14" s="12"/>
      <c r="CL14" s="12"/>
      <c r="CM14" s="12"/>
      <c r="CN14" s="12"/>
      <c r="CO14" s="12"/>
      <c r="CP14" s="12"/>
      <c r="CQ14" s="12"/>
      <c r="CR14" s="12"/>
      <c r="CS14" s="12"/>
      <c r="CT14" s="12"/>
      <c r="CU14" s="12"/>
      <c r="CV14" s="12"/>
      <c r="CW14" s="12"/>
      <c r="CX14" s="12"/>
      <c r="CY14" s="12"/>
      <c r="CZ14" s="12"/>
      <c r="DA14" s="12"/>
      <c r="DB14" s="12"/>
      <c r="DC14" s="12"/>
      <c r="DD14" s="12"/>
      <c r="DE14" s="12"/>
      <c r="DF14" s="12"/>
      <c r="DG14" s="12"/>
      <c r="DH14" s="12"/>
      <c r="DI14" s="12"/>
      <c r="DJ14" s="12"/>
      <c r="DK14" s="12"/>
      <c r="DL14" s="12"/>
      <c r="DM14" s="12"/>
      <c r="DN14" s="12"/>
      <c r="DO14" s="12"/>
      <c r="DP14" s="12"/>
      <c r="DQ14" s="12"/>
      <c r="DR14" s="12"/>
      <c r="DS14" s="12"/>
      <c r="DT14" s="12"/>
      <c r="DU14" s="12"/>
      <c r="DV14" s="12"/>
      <c r="DW14" s="12"/>
      <c r="DX14" s="12"/>
      <c r="DY14" s="12"/>
      <c r="DZ14" s="12"/>
      <c r="EA14" s="12"/>
      <c r="EB14" s="12"/>
      <c r="EC14" s="12"/>
      <c r="ED14" s="12"/>
      <c r="EE14" s="12"/>
      <c r="EF14" s="12"/>
      <c r="EG14" s="12"/>
      <c r="EH14" s="12"/>
      <c r="EI14" s="12"/>
      <c r="EJ14" s="12"/>
      <c r="EK14" s="12"/>
      <c r="EL14" s="12"/>
      <c r="EM14" s="12"/>
      <c r="EN14" s="12"/>
      <c r="EO14" s="12"/>
      <c r="EP14" s="12"/>
      <c r="EQ14" s="12"/>
      <c r="ER14" s="12"/>
      <c r="ES14" s="12"/>
      <c r="ET14" s="12"/>
      <c r="EU14" s="12"/>
      <c r="EV14" s="12"/>
      <c r="EW14" s="12"/>
      <c r="EX14" s="12"/>
      <c r="EY14" s="12"/>
      <c r="EZ14" s="12"/>
      <c r="FA14" s="12"/>
      <c r="FB14" s="12"/>
      <c r="FC14" s="12"/>
      <c r="FD14" s="12"/>
      <c r="FE14" s="12"/>
      <c r="FF14" s="12"/>
      <c r="FG14" s="12"/>
      <c r="FH14" s="12"/>
      <c r="FI14" s="12"/>
      <c r="FJ14" s="12"/>
      <c r="FK14" s="12"/>
      <c r="FL14" s="12"/>
      <c r="FM14" s="12"/>
      <c r="FN14" s="12"/>
      <c r="FO14" s="12"/>
      <c r="FP14" s="12"/>
      <c r="FQ14" s="12"/>
      <c r="FR14" s="12"/>
      <c r="FS14" s="12"/>
      <c r="FT14" s="12"/>
      <c r="FU14" s="12"/>
      <c r="FV14" s="12"/>
      <c r="FW14" s="12"/>
      <c r="FX14" s="12"/>
      <c r="FY14" s="12"/>
      <c r="FZ14" s="12"/>
      <c r="GA14" s="12"/>
      <c r="GB14" s="12"/>
      <c r="GC14" s="12"/>
      <c r="GD14" s="12"/>
      <c r="GE14" s="12"/>
      <c r="GF14" s="12"/>
      <c r="GG14" s="12"/>
      <c r="GH14" s="12"/>
      <c r="GI14" s="12"/>
      <c r="GJ14" s="12"/>
      <c r="GK14" s="12"/>
      <c r="GL14" s="12"/>
      <c r="GM14" s="12"/>
      <c r="GN14" s="12"/>
      <c r="GO14" s="12"/>
      <c r="GP14" s="12"/>
      <c r="GQ14" s="12"/>
      <c r="GR14" s="12"/>
      <c r="GS14" s="12"/>
      <c r="GT14" s="12"/>
      <c r="GU14" s="12"/>
      <c r="GV14" s="12"/>
      <c r="GW14" s="12"/>
      <c r="GX14" s="12"/>
      <c r="GY14" s="12"/>
      <c r="GZ14" s="12"/>
      <c r="HA14" s="12"/>
      <c r="HB14" s="12"/>
      <c r="HC14" s="12"/>
      <c r="HD14" s="12"/>
      <c r="HE14" s="12"/>
      <c r="HF14" s="12"/>
      <c r="HG14" s="12"/>
      <c r="HH14" s="12"/>
      <c r="HI14" s="12"/>
      <c r="HJ14" s="12"/>
      <c r="HK14" s="12"/>
      <c r="HL14" s="12"/>
      <c r="HM14" s="12"/>
      <c r="HN14" s="12"/>
      <c r="HO14" s="12"/>
      <c r="HP14" s="12"/>
      <c r="HQ14" s="12"/>
      <c r="HR14" s="12"/>
      <c r="HS14" s="12"/>
      <c r="HT14" s="12"/>
      <c r="HU14" s="12"/>
      <c r="HV14" s="12"/>
      <c r="HW14" s="12"/>
      <c r="HX14" s="12"/>
      <c r="HY14" s="12"/>
      <c r="HZ14" s="12"/>
      <c r="IA14" s="12"/>
      <c r="IB14" s="12"/>
      <c r="IC14" s="12"/>
      <c r="ID14" s="12"/>
      <c r="IE14" s="12"/>
      <c r="IF14" s="12"/>
      <c r="IG14" s="12"/>
      <c r="IH14" s="12"/>
      <c r="II14" s="12"/>
      <c r="IJ14" s="12"/>
      <c r="IK14" s="12"/>
      <c r="IL14" s="12"/>
      <c r="IM14" s="12"/>
      <c r="IN14" s="12"/>
      <c r="IO14" s="12"/>
      <c r="IP14" s="12"/>
      <c r="IQ14" s="12"/>
      <c r="IR14" s="12"/>
      <c r="IS14" s="12"/>
    </row>
    <row r="15" spans="1:255" ht="30.25" customHeight="1">
      <c r="A15" s="4"/>
      <c r="B15" s="18" t="s">
        <v>19</v>
      </c>
      <c r="C15" s="5"/>
      <c r="D15" s="5"/>
      <c r="E15" s="5"/>
      <c r="F15" s="5"/>
      <c r="G15" s="5"/>
      <c r="H15" s="5"/>
      <c r="J15" s="5"/>
      <c r="K15" s="19">
        <f>SUM(K14:K14)</f>
        <v>35000</v>
      </c>
    </row>
    <row r="16" spans="1:255" ht="12.75" customHeight="1">
      <c r="B16" s="6"/>
      <c r="C16" s="6"/>
      <c r="D16" s="6"/>
      <c r="E16" s="6"/>
      <c r="F16" s="6"/>
      <c r="G16" s="6"/>
      <c r="H16" s="6"/>
      <c r="I16" s="6"/>
      <c r="J16" s="6"/>
    </row>
    <row r="17" spans="2:255" ht="12.25" customHeight="1">
      <c r="B17" s="7"/>
      <c r="C17" s="7"/>
      <c r="D17" s="7"/>
      <c r="E17" s="7"/>
      <c r="F17" s="7"/>
      <c r="G17" s="7"/>
      <c r="H17" s="7"/>
      <c r="I17" s="7"/>
      <c r="IT17"/>
      <c r="IU17"/>
    </row>
  </sheetData>
  <mergeCells count="17">
    <mergeCell ref="I10:J10"/>
    <mergeCell ref="I11:J11"/>
    <mergeCell ref="I12:J12"/>
    <mergeCell ref="C9:G9"/>
    <mergeCell ref="B3:K4"/>
    <mergeCell ref="I5:J5"/>
    <mergeCell ref="I6:J6"/>
    <mergeCell ref="I7:J7"/>
    <mergeCell ref="I8:J8"/>
    <mergeCell ref="C7:G7"/>
    <mergeCell ref="C8:G8"/>
    <mergeCell ref="C5:G5"/>
    <mergeCell ref="C6:G6"/>
    <mergeCell ref="K6:K12"/>
    <mergeCell ref="C11:G11"/>
    <mergeCell ref="C10:G10"/>
    <mergeCell ref="I9:J9"/>
  </mergeCells>
  <hyperlinks>
    <hyperlink ref="C11" r:id="rId1" xr:uid="{00000000-0004-0000-0000-000000000000}"/>
  </hyperlinks>
  <pageMargins left="0.75" right="0.75" top="1" bottom="1" header="0.5" footer="0.5"/>
  <pageSetup orientation="landscape" r:id="rId2"/>
  <headerFooter>
    <oddFooter>&amp;L&amp;"Helvetica,Regular"&amp;12&amp;K000000	&amp;P</oddFooter>
  </headerFooter>
  <ignoredErrors>
    <ignoredError sqref="C8" numberStoredAsText="1"/>
  </ignoredErrors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ORDİNO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adflex</dc:creator>
  <cp:lastModifiedBy>gizem alaca</cp:lastModifiedBy>
  <dcterms:created xsi:type="dcterms:W3CDTF">2018-08-02T09:27:12Z</dcterms:created>
  <dcterms:modified xsi:type="dcterms:W3CDTF">2026-07-18T18:40:28Z</dcterms:modified>
</cp:coreProperties>
</file>